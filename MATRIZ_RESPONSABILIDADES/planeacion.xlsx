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duuaa-my.sharepoint.com/personal/al281026_edu_uaa_mx/Documents/Uni/S8/2_ADMIN_SOFT_PROYECTOS/PF/BITACORA/MATRIZ_RESPONSABILIDADES/"/>
    </mc:Choice>
  </mc:AlternateContent>
  <xr:revisionPtr revIDLastSave="66" documentId="13_ncr:1_{604EF1CF-027E-4C19-9D0F-2E4D200D5EFE}" xr6:coauthVersionLast="47" xr6:coauthVersionMax="47" xr10:uidLastSave="{22476CC1-BCFC-4FF0-9EC8-CC8B29939F45}"/>
  <bookViews>
    <workbookView xWindow="-108" yWindow="-108" windowWidth="23256" windowHeight="13176" xr2:uid="{00000000-000D-0000-FFFF-FFFF00000000}"/>
  </bookViews>
  <sheets>
    <sheet name="Grantt" sheetId="1" r:id="rId1"/>
    <sheet name="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F3" i="1"/>
  <c r="G3" i="1"/>
  <c r="E3" i="1"/>
  <c r="D3" i="1"/>
  <c r="C3" i="1"/>
  <c r="B3" i="1"/>
</calcChain>
</file>

<file path=xl/sharedStrings.xml><?xml version="1.0" encoding="utf-8"?>
<sst xmlns="http://schemas.openxmlformats.org/spreadsheetml/2006/main" count="203" uniqueCount="104">
  <si>
    <t>Resumen ejecutivo</t>
  </si>
  <si>
    <t>Descripción del proyecto</t>
  </si>
  <si>
    <t>Análisis de negocio</t>
  </si>
  <si>
    <t>Factibilidad</t>
  </si>
  <si>
    <t>Requerimientos</t>
  </si>
  <si>
    <t>Metodología</t>
  </si>
  <si>
    <t>Estimación (PF)</t>
  </si>
  <si>
    <t>Plan del proyecto</t>
  </si>
  <si>
    <t>Sprint 1</t>
  </si>
  <si>
    <t>Sprint 2</t>
  </si>
  <si>
    <t>Sprint 3</t>
  </si>
  <si>
    <t>Sprint 4</t>
  </si>
  <si>
    <t>Seguimiento PM</t>
  </si>
  <si>
    <t>Milestone m1</t>
  </si>
  <si>
    <t>Milestone m2</t>
  </si>
  <si>
    <t>Milestone m3</t>
  </si>
  <si>
    <t>Control proyecto</t>
  </si>
  <si>
    <t>Riesgos</t>
  </si>
  <si>
    <t>Calidad</t>
  </si>
  <si>
    <t>Conclusiones</t>
  </si>
  <si>
    <t>Anexos</t>
  </si>
  <si>
    <t>Tarea</t>
  </si>
  <si>
    <t>Inicio</t>
  </si>
  <si>
    <t>Código WBS</t>
  </si>
  <si>
    <t>Paquete de Trabajo</t>
  </si>
  <si>
    <t>Marí­a Fernanda Barrón (PM)</t>
  </si>
  <si>
    <t>Leslie Bení­tez (Frontend)</t>
  </si>
  <si>
    <t>Resumen Ejecutivo</t>
  </si>
  <si>
    <t>R / A</t>
  </si>
  <si>
    <t>I</t>
  </si>
  <si>
    <t>1.2.1</t>
  </si>
  <si>
    <t>Problema</t>
  </si>
  <si>
    <t>C</t>
  </si>
  <si>
    <t>1.2.2</t>
  </si>
  <si>
    <t>Objetivo general</t>
  </si>
  <si>
    <t>1.2.3</t>
  </si>
  <si>
    <t>Alcance</t>
  </si>
  <si>
    <t>1.2.4</t>
  </si>
  <si>
    <t>Stakeholders</t>
  </si>
  <si>
    <t>1.3.1</t>
  </si>
  <si>
    <t>Estudio de mercado</t>
  </si>
  <si>
    <t>R</t>
  </si>
  <si>
    <t>1.3.2</t>
  </si>
  <si>
    <t>Competencia</t>
  </si>
  <si>
    <t>1.3.3</t>
  </si>
  <si>
    <t>A</t>
  </si>
  <si>
    <t>1.4.1</t>
  </si>
  <si>
    <t>1.4.2</t>
  </si>
  <si>
    <t>1.4.3</t>
  </si>
  <si>
    <t>Factibilidad operacional</t>
  </si>
  <si>
    <t>1.5.1</t>
  </si>
  <si>
    <t>Requerimientos funcionales</t>
  </si>
  <si>
    <t>1.5.2</t>
  </si>
  <si>
    <t>Requerimientos no funcionales</t>
  </si>
  <si>
    <t>1.6.1</t>
  </si>
  <si>
    <t>1.6.2</t>
  </si>
  <si>
    <t>1.6.3</t>
  </si>
  <si>
    <t>Fases del proceso (Sprints)</t>
  </si>
  <si>
    <t>1.7.1</t>
  </si>
  <si>
    <t>1.7.2</t>
  </si>
  <si>
    <t>CÃ¡lculo de UFP y FP ajustados</t>
  </si>
  <si>
    <t>1.7.3</t>
  </si>
  <si>
    <t>1.8.1</t>
  </si>
  <si>
    <t>EDT</t>
  </si>
  <si>
    <t>1.8.2</t>
  </si>
  <si>
    <t>Cronograma</t>
  </si>
  <si>
    <t>1.8.3</t>
  </si>
  <si>
    <t>Roles del equipo</t>
  </si>
  <si>
    <t>1.9.1</t>
  </si>
  <si>
    <t>Avances reales</t>
  </si>
  <si>
    <t>1.9.2</t>
  </si>
  <si>
    <t>Actividades realizadas</t>
  </si>
  <si>
    <t>1.9.3</t>
  </si>
  <si>
    <t>Evidencias del prototipo</t>
  </si>
  <si>
    <t>1.9.4</t>
  </si>
  <si>
    <t>Trabajo por sprints</t>
  </si>
  <si>
    <t>Control del Proyecto (EVM)</t>
  </si>
  <si>
    <t>1.13.1</t>
  </si>
  <si>
    <t>Resultados</t>
  </si>
  <si>
    <t>1.13.2</t>
  </si>
  <si>
    <t>Problemas encontrados</t>
  </si>
  <si>
    <t>1.13.3</t>
  </si>
  <si>
    <t>Recomendaciones</t>
  </si>
  <si>
    <t>Sigla</t>
  </si>
  <si>
    <t>Significado</t>
  </si>
  <si>
    <t>Responsible / Responsible</t>
  </si>
  <si>
    <t>Accountable / Aprobador</t>
  </si>
  <si>
    <t>Consulted / Consultado</t>
  </si>
  <si>
    <t>Informed / Informado</t>
  </si>
  <si>
    <t>Roles de Responsabilidad</t>
  </si>
  <si>
    <t>Leonardo Merino (Backend)</t>
  </si>
  <si>
    <t>Metodologí­a seleccionada</t>
  </si>
  <si>
    <t>Justificación de metodologí­a</t>
  </si>
  <si>
    <t>Identificación de funciones (ILF EIF EI EO EQ)</t>
  </si>
  <si>
    <t>Estimación de esfuerzo tiempo y costo</t>
  </si>
  <si>
    <t>Gestión de Riesgos</t>
  </si>
  <si>
    <t>Gestión de Calidad (ISO 25010)</t>
  </si>
  <si>
    <t>Factibilidad técnica</t>
  </si>
  <si>
    <t>Justificación del proyecto</t>
  </si>
  <si>
    <t>Factibilidad económica</t>
  </si>
  <si>
    <t>PM</t>
  </si>
  <si>
    <t>FRONTEND</t>
  </si>
  <si>
    <t>BACKEND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</si>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</sst>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rgb="FF4CAF5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rgb="FF4CAF50"/>
      </patternFill>
    </fill>
    <fill>
      <patternFill patternType="solid">
        <fgColor theme="6" tint="0.39997558519241921"/>
        <bgColor rgb="FF4CAF50"/>
      </patternFill>
    </fill>
    <fill>
      <patternFill patternType="solid">
        <fgColor theme="9" tint="0.39997558519241921"/>
        <bgColor rgb="FF4CAF5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14" fontId="3" fillId="4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8" borderId="0" xfId="0" applyFill="1"/>
    <xf numFmtId="0" fontId="0" fillId="0" borderId="1" xfId="0" applyBorder="1"/>
    <xf numFmtId="0" fontId="1" fillId="12" borderId="1" xfId="0" applyFont="1" applyFill="1" applyBorder="1"/>
    <xf numFmtId="0" fontId="0" fillId="4" borderId="1" xfId="0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69" workbookViewId="0">
      <selection activeCell="B2" sqref="B2"/>
    </sheetView>
  </sheetViews>
  <sheetFormatPr baseColWidth="10" defaultColWidth="8.88671875" defaultRowHeight="14.4" x14ac:dyDescent="0.3"/>
  <cols>
    <col min="1" max="1" width="24" customWidth="1"/>
    <col min="2" max="3" width="13.88671875" bestFit="1" customWidth="1"/>
    <col min="4" max="4" width="13.88671875" customWidth="1"/>
    <col min="5" max="9" width="13.88671875" bestFit="1" customWidth="1"/>
  </cols>
  <sheetData>
    <row r="1" spans="1:9" ht="18" x14ac:dyDescent="0.3">
      <c r="A1" s="1" t="s">
        <v>22</v>
      </c>
      <c r="B1" s="6">
        <v>46148</v>
      </c>
      <c r="D1" s="15" t="s">
        <v>100</v>
      </c>
      <c r="E1" s="14" t="s">
        <v>101</v>
      </c>
      <c r="F1" s="13" t="s">
        <v>102</v>
      </c>
      <c r="G1" s="12" t="s">
        <v>103</v>
      </c>
    </row>
    <row r="3" spans="1:9" ht="18" x14ac:dyDescent="0.3">
      <c r="A3" s="1" t="s">
        <v>21</v>
      </c>
      <c r="B3" s="7">
        <f>B1</f>
        <v>46148</v>
      </c>
      <c r="C3" s="7">
        <f>B1+7</f>
        <v>46155</v>
      </c>
      <c r="D3" s="7">
        <f>B1+14</f>
        <v>46162</v>
      </c>
      <c r="E3" s="7">
        <f>B1+21</f>
        <v>46169</v>
      </c>
      <c r="F3" s="7">
        <f>B1+28</f>
        <v>46176</v>
      </c>
      <c r="G3" s="7">
        <f>B1+35</f>
        <v>46183</v>
      </c>
      <c r="H3" s="7">
        <f>B1+42</f>
        <v>46190</v>
      </c>
      <c r="I3" s="7">
        <f>B1+49</f>
        <v>46197</v>
      </c>
    </row>
    <row r="4" spans="1:9" x14ac:dyDescent="0.3">
      <c r="A4" s="2" t="s">
        <v>0</v>
      </c>
      <c r="B4" s="8"/>
      <c r="C4" s="4"/>
      <c r="D4" s="4"/>
      <c r="E4" s="4"/>
      <c r="F4" s="4"/>
      <c r="G4" s="4"/>
      <c r="H4" s="4"/>
      <c r="I4" s="4"/>
    </row>
    <row r="5" spans="1:9" x14ac:dyDescent="0.3">
      <c r="A5" s="2" t="s">
        <v>1</v>
      </c>
      <c r="B5" s="8"/>
      <c r="C5" s="4"/>
      <c r="D5" s="4"/>
      <c r="E5" s="4"/>
      <c r="F5" s="4"/>
      <c r="G5" s="4"/>
      <c r="H5" s="4"/>
      <c r="I5" s="4"/>
    </row>
    <row r="6" spans="1:9" x14ac:dyDescent="0.3">
      <c r="A6" s="2" t="s">
        <v>2</v>
      </c>
      <c r="B6" s="9"/>
      <c r="C6" s="9"/>
      <c r="D6" s="4"/>
      <c r="E6" s="4"/>
      <c r="F6" s="4"/>
      <c r="G6" s="4"/>
      <c r="H6" s="4"/>
      <c r="I6" s="4"/>
    </row>
    <row r="7" spans="1:9" x14ac:dyDescent="0.3">
      <c r="A7" s="2" t="s">
        <v>3</v>
      </c>
      <c r="B7" s="3"/>
      <c r="C7" s="3"/>
      <c r="D7" s="4"/>
      <c r="E7" s="4"/>
      <c r="F7" s="4"/>
      <c r="G7" s="4"/>
      <c r="H7" s="4"/>
      <c r="I7" s="4"/>
    </row>
    <row r="8" spans="1:9" x14ac:dyDescent="0.3">
      <c r="A8" s="2" t="s">
        <v>4</v>
      </c>
      <c r="B8" s="4"/>
      <c r="C8" s="10"/>
      <c r="D8" s="10"/>
      <c r="E8" s="4"/>
      <c r="F8" s="4"/>
      <c r="G8" s="4"/>
      <c r="H8" s="4"/>
      <c r="I8" s="4"/>
    </row>
    <row r="9" spans="1:9" x14ac:dyDescent="0.3">
      <c r="A9" s="2" t="s">
        <v>5</v>
      </c>
      <c r="B9" s="4"/>
      <c r="C9" s="8"/>
      <c r="D9" s="4"/>
      <c r="E9" s="4"/>
      <c r="F9" s="4"/>
      <c r="G9" s="4"/>
      <c r="H9" s="4"/>
      <c r="I9" s="4"/>
    </row>
    <row r="10" spans="1:9" x14ac:dyDescent="0.3">
      <c r="A10" s="2" t="s">
        <v>6</v>
      </c>
      <c r="B10" s="4"/>
      <c r="C10" s="4"/>
      <c r="D10" s="9"/>
      <c r="E10" s="9"/>
      <c r="F10" s="4"/>
      <c r="G10" s="4"/>
      <c r="H10" s="4"/>
      <c r="I10" s="4"/>
    </row>
    <row r="11" spans="1:9" x14ac:dyDescent="0.3">
      <c r="A11" s="2" t="s">
        <v>7</v>
      </c>
      <c r="B11" s="4"/>
      <c r="C11" s="4"/>
      <c r="D11" s="8"/>
      <c r="E11" s="8"/>
      <c r="F11" s="4"/>
      <c r="G11" s="4"/>
      <c r="H11" s="4"/>
      <c r="I11" s="4"/>
    </row>
    <row r="12" spans="1:9" x14ac:dyDescent="0.3">
      <c r="A12" s="2" t="s">
        <v>8</v>
      </c>
      <c r="B12" s="9"/>
      <c r="C12" s="9"/>
      <c r="D12" s="4"/>
      <c r="E12" s="4"/>
      <c r="F12" s="4"/>
      <c r="G12" s="4"/>
      <c r="H12" s="4"/>
      <c r="I12" s="4"/>
    </row>
    <row r="13" spans="1:9" x14ac:dyDescent="0.3">
      <c r="A13" s="2" t="s">
        <v>9</v>
      </c>
      <c r="B13" s="4"/>
      <c r="C13" s="4"/>
      <c r="D13" s="3"/>
      <c r="E13" s="3"/>
      <c r="F13" s="4"/>
      <c r="G13" s="4"/>
      <c r="H13" s="4"/>
      <c r="I13" s="4"/>
    </row>
    <row r="14" spans="1:9" x14ac:dyDescent="0.3">
      <c r="A14" s="2" t="s">
        <v>10</v>
      </c>
      <c r="B14" s="4"/>
      <c r="C14" s="4"/>
      <c r="D14" s="4"/>
      <c r="E14" s="4"/>
      <c r="F14" s="3"/>
      <c r="G14" s="3"/>
      <c r="H14" s="4"/>
      <c r="I14" s="4"/>
    </row>
    <row r="15" spans="1:9" x14ac:dyDescent="0.3">
      <c r="A15" s="2" t="s">
        <v>11</v>
      </c>
      <c r="B15" s="4"/>
      <c r="C15" s="4"/>
      <c r="D15" s="4"/>
      <c r="E15" s="4"/>
      <c r="F15" s="4"/>
      <c r="G15" s="4"/>
      <c r="H15" s="9"/>
      <c r="I15" s="9"/>
    </row>
    <row r="16" spans="1:9" x14ac:dyDescent="0.3">
      <c r="A16" s="2" t="s">
        <v>12</v>
      </c>
      <c r="B16" s="8"/>
      <c r="C16" s="8"/>
      <c r="D16" s="8"/>
      <c r="E16" s="8"/>
      <c r="F16" s="8"/>
      <c r="G16" s="8"/>
      <c r="H16" s="11"/>
      <c r="I16" s="11"/>
    </row>
    <row r="17" spans="1:9" x14ac:dyDescent="0.3">
      <c r="A17" s="2" t="s">
        <v>13</v>
      </c>
      <c r="B17" s="4"/>
      <c r="C17" s="4"/>
      <c r="D17" s="4"/>
      <c r="E17" s="10"/>
      <c r="F17" s="4"/>
      <c r="G17" s="4"/>
      <c r="H17" s="4"/>
      <c r="I17" s="4"/>
    </row>
    <row r="18" spans="1:9" x14ac:dyDescent="0.3">
      <c r="A18" s="2" t="s">
        <v>14</v>
      </c>
      <c r="B18" s="4"/>
      <c r="C18" s="4"/>
      <c r="D18" s="4"/>
      <c r="E18" s="4"/>
      <c r="F18" s="4"/>
      <c r="G18" s="10"/>
      <c r="H18" s="4"/>
      <c r="I18" s="4"/>
    </row>
    <row r="19" spans="1:9" x14ac:dyDescent="0.3">
      <c r="A19" s="2" t="s">
        <v>15</v>
      </c>
      <c r="B19" s="4"/>
      <c r="C19" s="4"/>
      <c r="D19" s="4"/>
      <c r="E19" s="4"/>
      <c r="F19" s="4"/>
      <c r="G19" s="4"/>
      <c r="H19" s="4"/>
      <c r="I19" s="10"/>
    </row>
    <row r="20" spans="1:9" x14ac:dyDescent="0.3">
      <c r="A20" s="2" t="s">
        <v>16</v>
      </c>
      <c r="B20" s="4"/>
      <c r="C20" s="4"/>
      <c r="D20" s="4"/>
      <c r="E20" s="4"/>
      <c r="F20" s="4"/>
      <c r="G20" s="4"/>
      <c r="H20" s="8"/>
      <c r="I20" s="8"/>
    </row>
    <row r="21" spans="1:9" x14ac:dyDescent="0.3">
      <c r="A21" s="2" t="s">
        <v>17</v>
      </c>
      <c r="B21" s="4"/>
      <c r="C21" s="4"/>
      <c r="D21" s="4"/>
      <c r="E21" s="10"/>
      <c r="F21" s="10"/>
      <c r="G21" s="4"/>
      <c r="H21" s="4"/>
      <c r="I21" s="4"/>
    </row>
    <row r="22" spans="1:9" x14ac:dyDescent="0.3">
      <c r="A22" s="2" t="s">
        <v>18</v>
      </c>
      <c r="B22" s="4"/>
      <c r="C22" s="4"/>
      <c r="D22" s="4"/>
      <c r="E22" s="4"/>
      <c r="F22" s="4"/>
      <c r="G22" s="4"/>
      <c r="H22" s="10"/>
      <c r="I22" s="10"/>
    </row>
    <row r="23" spans="1:9" x14ac:dyDescent="0.3">
      <c r="A23" s="2" t="s">
        <v>19</v>
      </c>
      <c r="B23" s="4"/>
      <c r="C23" s="4"/>
      <c r="D23" s="4"/>
      <c r="E23" s="4"/>
      <c r="F23" s="4"/>
      <c r="G23" s="4"/>
      <c r="H23" s="4"/>
      <c r="I23" s="10"/>
    </row>
    <row r="24" spans="1:9" x14ac:dyDescent="0.3">
      <c r="A24" s="2" t="s">
        <v>20</v>
      </c>
      <c r="B24" s="4"/>
      <c r="C24" s="4"/>
      <c r="D24" s="4"/>
      <c r="E24" s="4"/>
      <c r="F24" s="4"/>
      <c r="G24" s="4"/>
      <c r="H24" s="4"/>
      <c r="I24" s="10"/>
    </row>
  </sheetData>
  <pageMargins left="0.75" right="0.75" top="1" bottom="1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5317-8C5F-48E7-9079-3532CACCFF34}">
  <dimension ref="A1:E41"/>
  <sheetViews>
    <sheetView zoomScale="78" zoomScaleNormal="79" workbookViewId="0">
      <selection sqref="A1:B6"/>
    </sheetView>
  </sheetViews>
  <sheetFormatPr baseColWidth="10" defaultColWidth="8.88671875" defaultRowHeight="14.4" x14ac:dyDescent="0.3"/>
  <cols>
    <col min="1" max="1" width="11.109375" customWidth="1"/>
    <col min="2" max="2" width="46" customWidth="1"/>
    <col min="3" max="3" width="29.5546875" customWidth="1"/>
    <col min="4" max="4" width="30.6640625" customWidth="1"/>
    <col min="5" max="5" width="33.5546875" customWidth="1"/>
  </cols>
  <sheetData>
    <row r="1" spans="1:5" ht="18" x14ac:dyDescent="0.3">
      <c r="A1" s="19" t="s">
        <v>89</v>
      </c>
      <c r="B1" s="20"/>
    </row>
    <row r="2" spans="1:5" x14ac:dyDescent="0.3">
      <c r="A2" s="17" t="s">
        <v>83</v>
      </c>
      <c r="B2" s="17" t="s">
        <v>84</v>
      </c>
    </row>
    <row r="3" spans="1:5" x14ac:dyDescent="0.3">
      <c r="A3" s="5" t="s">
        <v>41</v>
      </c>
      <c r="B3" s="16" t="s">
        <v>85</v>
      </c>
    </row>
    <row r="4" spans="1:5" x14ac:dyDescent="0.3">
      <c r="A4" s="5" t="s">
        <v>45</v>
      </c>
      <c r="B4" s="16" t="s">
        <v>86</v>
      </c>
    </row>
    <row r="5" spans="1:5" x14ac:dyDescent="0.3">
      <c r="A5" s="5" t="s">
        <v>32</v>
      </c>
      <c r="B5" s="16" t="s">
        <v>87</v>
      </c>
    </row>
    <row r="6" spans="1:5" x14ac:dyDescent="0.3">
      <c r="A6" s="5" t="s">
        <v>29</v>
      </c>
      <c r="B6" s="16" t="s">
        <v>88</v>
      </c>
    </row>
    <row r="8" spans="1:5" ht="18" x14ac:dyDescent="0.3">
      <c r="A8" s="1" t="s">
        <v>23</v>
      </c>
      <c r="B8" s="1" t="s">
        <v>24</v>
      </c>
      <c r="C8" s="1" t="s">
        <v>25</v>
      </c>
      <c r="D8" s="1" t="s">
        <v>26</v>
      </c>
      <c r="E8" s="1" t="s">
        <v>90</v>
      </c>
    </row>
    <row r="9" spans="1:5" x14ac:dyDescent="0.3">
      <c r="A9" s="18">
        <v>1.1000000000000001</v>
      </c>
      <c r="B9" s="16" t="s">
        <v>27</v>
      </c>
      <c r="C9" s="16" t="s">
        <v>28</v>
      </c>
      <c r="D9" s="16" t="s">
        <v>29</v>
      </c>
      <c r="E9" s="16" t="s">
        <v>29</v>
      </c>
    </row>
    <row r="10" spans="1:5" x14ac:dyDescent="0.3">
      <c r="A10" s="18" t="s">
        <v>30</v>
      </c>
      <c r="B10" s="16" t="s">
        <v>31</v>
      </c>
      <c r="C10" s="16" t="s">
        <v>28</v>
      </c>
      <c r="D10" s="16" t="s">
        <v>32</v>
      </c>
      <c r="E10" s="16" t="s">
        <v>32</v>
      </c>
    </row>
    <row r="11" spans="1:5" x14ac:dyDescent="0.3">
      <c r="A11" s="18" t="s">
        <v>33</v>
      </c>
      <c r="B11" s="16" t="s">
        <v>34</v>
      </c>
      <c r="C11" s="16" t="s">
        <v>28</v>
      </c>
      <c r="D11" s="16" t="s">
        <v>32</v>
      </c>
      <c r="E11" s="16" t="s">
        <v>32</v>
      </c>
    </row>
    <row r="12" spans="1:5" x14ac:dyDescent="0.3">
      <c r="A12" s="18" t="s">
        <v>35</v>
      </c>
      <c r="B12" s="16" t="s">
        <v>36</v>
      </c>
      <c r="C12" s="16" t="s">
        <v>28</v>
      </c>
      <c r="D12" s="16" t="s">
        <v>32</v>
      </c>
      <c r="E12" s="16" t="s">
        <v>32</v>
      </c>
    </row>
    <row r="13" spans="1:5" x14ac:dyDescent="0.3">
      <c r="A13" s="18" t="s">
        <v>37</v>
      </c>
      <c r="B13" s="16" t="s">
        <v>38</v>
      </c>
      <c r="C13" s="16" t="s">
        <v>28</v>
      </c>
      <c r="D13" s="16" t="s">
        <v>29</v>
      </c>
      <c r="E13" s="16" t="s">
        <v>29</v>
      </c>
    </row>
    <row r="14" spans="1:5" x14ac:dyDescent="0.3">
      <c r="A14" s="18" t="s">
        <v>39</v>
      </c>
      <c r="B14" s="16" t="s">
        <v>40</v>
      </c>
      <c r="C14" s="16" t="s">
        <v>32</v>
      </c>
      <c r="D14" s="16" t="s">
        <v>41</v>
      </c>
      <c r="E14" s="16" t="s">
        <v>29</v>
      </c>
    </row>
    <row r="15" spans="1:5" x14ac:dyDescent="0.3">
      <c r="A15" s="18" t="s">
        <v>42</v>
      </c>
      <c r="B15" s="16" t="s">
        <v>43</v>
      </c>
      <c r="C15" s="16" t="s">
        <v>32</v>
      </c>
      <c r="D15" s="16" t="s">
        <v>41</v>
      </c>
      <c r="E15" s="16" t="s">
        <v>29</v>
      </c>
    </row>
    <row r="16" spans="1:5" x14ac:dyDescent="0.3">
      <c r="A16" s="18" t="s">
        <v>44</v>
      </c>
      <c r="B16" s="16" t="s">
        <v>98</v>
      </c>
      <c r="C16" s="16" t="s">
        <v>45</v>
      </c>
      <c r="D16" s="16" t="s">
        <v>41</v>
      </c>
      <c r="E16" s="16" t="s">
        <v>32</v>
      </c>
    </row>
    <row r="17" spans="1:5" x14ac:dyDescent="0.3">
      <c r="A17" s="18" t="s">
        <v>46</v>
      </c>
      <c r="B17" s="16" t="s">
        <v>97</v>
      </c>
      <c r="C17" s="16" t="s">
        <v>29</v>
      </c>
      <c r="D17" s="16" t="s">
        <v>32</v>
      </c>
      <c r="E17" s="16" t="s">
        <v>41</v>
      </c>
    </row>
    <row r="18" spans="1:5" x14ac:dyDescent="0.3">
      <c r="A18" s="18" t="s">
        <v>47</v>
      </c>
      <c r="B18" s="16" t="s">
        <v>99</v>
      </c>
      <c r="C18" s="16" t="s">
        <v>45</v>
      </c>
      <c r="D18" s="16" t="s">
        <v>29</v>
      </c>
      <c r="E18" s="16" t="s">
        <v>41</v>
      </c>
    </row>
    <row r="19" spans="1:5" x14ac:dyDescent="0.3">
      <c r="A19" s="18" t="s">
        <v>48</v>
      </c>
      <c r="B19" s="16" t="s">
        <v>49</v>
      </c>
      <c r="C19" s="16" t="s">
        <v>28</v>
      </c>
      <c r="D19" s="16" t="s">
        <v>29</v>
      </c>
      <c r="E19" s="16" t="s">
        <v>32</v>
      </c>
    </row>
    <row r="20" spans="1:5" x14ac:dyDescent="0.3">
      <c r="A20" s="18" t="s">
        <v>50</v>
      </c>
      <c r="B20" s="16" t="s">
        <v>51</v>
      </c>
      <c r="C20" s="16" t="s">
        <v>45</v>
      </c>
      <c r="D20" s="16" t="s">
        <v>41</v>
      </c>
      <c r="E20" s="16" t="s">
        <v>41</v>
      </c>
    </row>
    <row r="21" spans="1:5" x14ac:dyDescent="0.3">
      <c r="A21" s="18" t="s">
        <v>52</v>
      </c>
      <c r="B21" s="16" t="s">
        <v>53</v>
      </c>
      <c r="C21" s="16" t="s">
        <v>45</v>
      </c>
      <c r="D21" s="16" t="s">
        <v>41</v>
      </c>
      <c r="E21" s="16" t="s">
        <v>41</v>
      </c>
    </row>
    <row r="22" spans="1:5" x14ac:dyDescent="0.3">
      <c r="A22" s="18" t="s">
        <v>54</v>
      </c>
      <c r="B22" s="16" t="s">
        <v>91</v>
      </c>
      <c r="C22" s="16" t="s">
        <v>28</v>
      </c>
      <c r="D22" s="16" t="s">
        <v>29</v>
      </c>
      <c r="E22" s="16" t="s">
        <v>29</v>
      </c>
    </row>
    <row r="23" spans="1:5" x14ac:dyDescent="0.3">
      <c r="A23" s="18" t="s">
        <v>55</v>
      </c>
      <c r="B23" s="16" t="s">
        <v>92</v>
      </c>
      <c r="C23" s="16" t="s">
        <v>28</v>
      </c>
      <c r="D23" s="16" t="s">
        <v>29</v>
      </c>
      <c r="E23" s="16" t="s">
        <v>29</v>
      </c>
    </row>
    <row r="24" spans="1:5" x14ac:dyDescent="0.3">
      <c r="A24" s="18" t="s">
        <v>56</v>
      </c>
      <c r="B24" s="16" t="s">
        <v>57</v>
      </c>
      <c r="C24" s="16" t="s">
        <v>45</v>
      </c>
      <c r="D24" s="16" t="s">
        <v>41</v>
      </c>
      <c r="E24" s="16" t="s">
        <v>41</v>
      </c>
    </row>
    <row r="25" spans="1:5" x14ac:dyDescent="0.3">
      <c r="A25" s="18" t="s">
        <v>58</v>
      </c>
      <c r="B25" s="16" t="s">
        <v>93</v>
      </c>
      <c r="C25" s="16" t="s">
        <v>29</v>
      </c>
      <c r="D25" s="16" t="s">
        <v>32</v>
      </c>
      <c r="E25" s="16" t="s">
        <v>41</v>
      </c>
    </row>
    <row r="26" spans="1:5" x14ac:dyDescent="0.3">
      <c r="A26" s="18" t="s">
        <v>59</v>
      </c>
      <c r="B26" s="16" t="s">
        <v>60</v>
      </c>
      <c r="C26" s="16" t="s">
        <v>29</v>
      </c>
      <c r="D26" s="16" t="s">
        <v>29</v>
      </c>
      <c r="E26" s="16" t="s">
        <v>28</v>
      </c>
    </row>
    <row r="27" spans="1:5" x14ac:dyDescent="0.3">
      <c r="A27" s="18" t="s">
        <v>61</v>
      </c>
      <c r="B27" s="16" t="s">
        <v>94</v>
      </c>
      <c r="C27" s="16" t="s">
        <v>45</v>
      </c>
      <c r="D27" s="16" t="s">
        <v>29</v>
      </c>
      <c r="E27" s="16" t="s">
        <v>41</v>
      </c>
    </row>
    <row r="28" spans="1:5" x14ac:dyDescent="0.3">
      <c r="A28" s="18" t="s">
        <v>62</v>
      </c>
      <c r="B28" s="16" t="s">
        <v>63</v>
      </c>
      <c r="C28" s="16" t="s">
        <v>28</v>
      </c>
      <c r="D28" s="16" t="s">
        <v>29</v>
      </c>
      <c r="E28" s="16" t="s">
        <v>29</v>
      </c>
    </row>
    <row r="29" spans="1:5" x14ac:dyDescent="0.3">
      <c r="A29" s="18" t="s">
        <v>64</v>
      </c>
      <c r="B29" s="16" t="s">
        <v>65</v>
      </c>
      <c r="C29" s="16" t="s">
        <v>28</v>
      </c>
      <c r="D29" s="16" t="s">
        <v>32</v>
      </c>
      <c r="E29" s="16" t="s">
        <v>32</v>
      </c>
    </row>
    <row r="30" spans="1:5" x14ac:dyDescent="0.3">
      <c r="A30" s="18" t="s">
        <v>66</v>
      </c>
      <c r="B30" s="16" t="s">
        <v>67</v>
      </c>
      <c r="C30" s="16" t="s">
        <v>28</v>
      </c>
      <c r="D30" s="16" t="s">
        <v>29</v>
      </c>
      <c r="E30" s="16" t="s">
        <v>29</v>
      </c>
    </row>
    <row r="31" spans="1:5" x14ac:dyDescent="0.3">
      <c r="A31" s="18" t="s">
        <v>68</v>
      </c>
      <c r="B31" s="16" t="s">
        <v>69</v>
      </c>
      <c r="C31" s="16" t="s">
        <v>28</v>
      </c>
      <c r="D31" s="16" t="s">
        <v>32</v>
      </c>
      <c r="E31" s="16" t="s">
        <v>32</v>
      </c>
    </row>
    <row r="32" spans="1:5" x14ac:dyDescent="0.3">
      <c r="A32" s="18" t="s">
        <v>70</v>
      </c>
      <c r="B32" s="16" t="s">
        <v>71</v>
      </c>
      <c r="C32" s="16" t="s">
        <v>45</v>
      </c>
      <c r="D32" s="16" t="s">
        <v>41</v>
      </c>
      <c r="E32" s="16" t="s">
        <v>41</v>
      </c>
    </row>
    <row r="33" spans="1:5" x14ac:dyDescent="0.3">
      <c r="A33" s="18" t="s">
        <v>72</v>
      </c>
      <c r="B33" s="16" t="s">
        <v>73</v>
      </c>
      <c r="C33" s="16" t="s">
        <v>29</v>
      </c>
      <c r="D33" s="16" t="s">
        <v>41</v>
      </c>
      <c r="E33" s="16" t="s">
        <v>41</v>
      </c>
    </row>
    <row r="34" spans="1:5" x14ac:dyDescent="0.3">
      <c r="A34" s="18" t="s">
        <v>74</v>
      </c>
      <c r="B34" s="16" t="s">
        <v>75</v>
      </c>
      <c r="C34" s="16" t="s">
        <v>45</v>
      </c>
      <c r="D34" s="16" t="s">
        <v>41</v>
      </c>
      <c r="E34" s="16" t="s">
        <v>41</v>
      </c>
    </row>
    <row r="35" spans="1:5" x14ac:dyDescent="0.3">
      <c r="A35" s="18">
        <v>1.1000000000000001</v>
      </c>
      <c r="B35" s="16" t="s">
        <v>76</v>
      </c>
      <c r="C35" s="16" t="s">
        <v>28</v>
      </c>
      <c r="D35" s="16" t="s">
        <v>29</v>
      </c>
      <c r="E35" s="16" t="s">
        <v>32</v>
      </c>
    </row>
    <row r="36" spans="1:5" x14ac:dyDescent="0.3">
      <c r="A36" s="18">
        <v>1.1100000000000001</v>
      </c>
      <c r="B36" s="16" t="s">
        <v>95</v>
      </c>
      <c r="C36" s="16" t="s">
        <v>28</v>
      </c>
      <c r="D36" s="16" t="s">
        <v>32</v>
      </c>
      <c r="E36" s="16" t="s">
        <v>32</v>
      </c>
    </row>
    <row r="37" spans="1:5" x14ac:dyDescent="0.3">
      <c r="A37" s="18">
        <v>1.1200000000000001</v>
      </c>
      <c r="B37" s="16" t="s">
        <v>96</v>
      </c>
      <c r="C37" s="16" t="s">
        <v>45</v>
      </c>
      <c r="D37" s="16" t="s">
        <v>41</v>
      </c>
      <c r="E37" s="16" t="s">
        <v>41</v>
      </c>
    </row>
    <row r="38" spans="1:5" x14ac:dyDescent="0.3">
      <c r="A38" s="18" t="s">
        <v>77</v>
      </c>
      <c r="B38" s="16" t="s">
        <v>78</v>
      </c>
      <c r="C38" s="16" t="s">
        <v>41</v>
      </c>
      <c r="D38" s="16" t="s">
        <v>32</v>
      </c>
      <c r="E38" s="16" t="s">
        <v>32</v>
      </c>
    </row>
    <row r="39" spans="1:5" x14ac:dyDescent="0.3">
      <c r="A39" s="18" t="s">
        <v>79</v>
      </c>
      <c r="B39" s="16" t="s">
        <v>80</v>
      </c>
      <c r="C39" s="16" t="s">
        <v>41</v>
      </c>
      <c r="D39" s="16" t="s">
        <v>32</v>
      </c>
      <c r="E39" s="16" t="s">
        <v>32</v>
      </c>
    </row>
    <row r="40" spans="1:5" x14ac:dyDescent="0.3">
      <c r="A40" s="18" t="s">
        <v>81</v>
      </c>
      <c r="B40" s="16" t="s">
        <v>82</v>
      </c>
      <c r="C40" s="16" t="s">
        <v>41</v>
      </c>
      <c r="D40" s="16" t="s">
        <v>32</v>
      </c>
      <c r="E40" s="16" t="s">
        <v>32</v>
      </c>
    </row>
    <row r="41" spans="1:5" x14ac:dyDescent="0.3">
      <c r="A41" s="18">
        <v>1.1399999999999999</v>
      </c>
      <c r="B41" s="16" t="s">
        <v>20</v>
      </c>
      <c r="C41" s="16" t="s">
        <v>45</v>
      </c>
      <c r="D41" s="16" t="s">
        <v>41</v>
      </c>
      <c r="E41" s="16" t="s">
        <v>41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Grantt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BARRON ALVAREZ</cp:lastModifiedBy>
  <cp:lastPrinted>2026-05-11T05:53:56Z</cp:lastPrinted>
  <dcterms:created xsi:type="dcterms:W3CDTF">2026-05-11T02:50:02Z</dcterms:created>
  <dcterms:modified xsi:type="dcterms:W3CDTF">2026-05-22T15:45:33Z</dcterms:modified>
</cp:coreProperties>
</file>