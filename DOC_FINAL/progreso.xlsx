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aa-my.sharepoint.com/personal/al281026_edu_uaa_mx/Documents/Uni/S8/2_ADMIN_SOFT_PROYECTOS/PF/BITACORA/DOC_FINAL/"/>
    </mc:Choice>
  </mc:AlternateContent>
  <xr:revisionPtr revIDLastSave="70" documentId="8_{1766966A-F758-4279-B7FA-2563B243E098}" xr6:coauthVersionLast="47" xr6:coauthVersionMax="47" xr10:uidLastSave="{CD93D904-3D33-46E7-BBBA-1692B1094AAD}"/>
  <bookViews>
    <workbookView xWindow="-108" yWindow="-108" windowWidth="23256" windowHeight="13176" activeTab="1" xr2:uid="{A4E8C7E1-BC4E-4587-BB58-FE3564FD6DF5}"/>
  </bookViews>
  <sheets>
    <sheet name="Hoja1" sheetId="1" r:id="rId1"/>
    <sheet name="Spr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3" i="2" l="1"/>
  <c r="K21" i="2"/>
  <c r="F27" i="2"/>
  <c r="K20" i="2"/>
  <c r="K19" i="2"/>
  <c r="K18" i="2"/>
  <c r="K17" i="2"/>
  <c r="F26" i="2"/>
  <c r="F21" i="2"/>
  <c r="F29" i="2"/>
  <c r="F15" i="2"/>
  <c r="F9" i="2"/>
  <c r="G33" i="1"/>
  <c r="G32" i="1"/>
  <c r="G31" i="1"/>
  <c r="G30" i="1"/>
  <c r="G29" i="1"/>
</calcChain>
</file>

<file path=xl/sharedStrings.xml><?xml version="1.0" encoding="utf-8"?>
<sst xmlns="http://schemas.openxmlformats.org/spreadsheetml/2006/main" count="160" uniqueCount="103">
  <si>
    <t>Código WBS</t>
  </si>
  <si>
    <t>Paquete de Trabajo</t>
  </si>
  <si>
    <t xml:space="preserve">Completado / Pendiente / </t>
  </si>
  <si>
    <t>En proceso</t>
  </si>
  <si>
    <t>Resumen Ejecutivo</t>
  </si>
  <si>
    <t>Completado</t>
  </si>
  <si>
    <t>1.2.1</t>
  </si>
  <si>
    <t>Problema</t>
  </si>
  <si>
    <t>1.2.2</t>
  </si>
  <si>
    <t>Objetivo general</t>
  </si>
  <si>
    <t>1.2.3</t>
  </si>
  <si>
    <t>Alcance</t>
  </si>
  <si>
    <t>1.2.4</t>
  </si>
  <si>
    <t>Stakeholders</t>
  </si>
  <si>
    <t>1.3.1</t>
  </si>
  <si>
    <t>Estudio de mercado</t>
  </si>
  <si>
    <t>1.3.2</t>
  </si>
  <si>
    <t>Competencia</t>
  </si>
  <si>
    <t>1.3.3</t>
  </si>
  <si>
    <t>Justificación del proyecto</t>
  </si>
  <si>
    <t>1.4.1</t>
  </si>
  <si>
    <t>Factibilidad técnica</t>
  </si>
  <si>
    <t>1.4.2</t>
  </si>
  <si>
    <t>Factibilidad económica</t>
  </si>
  <si>
    <t>1.4.3</t>
  </si>
  <si>
    <t>Factibilidad operacional</t>
  </si>
  <si>
    <t>1.5.1</t>
  </si>
  <si>
    <t>Requerimientos funcionales</t>
  </si>
  <si>
    <t>1.5.2</t>
  </si>
  <si>
    <t>Requerimientos no funcionales</t>
  </si>
  <si>
    <t>1.6.1</t>
  </si>
  <si>
    <t>Metodologí­a seleccionada</t>
  </si>
  <si>
    <t>1.6.2</t>
  </si>
  <si>
    <t>Justificación de metodologí­a</t>
  </si>
  <si>
    <t>1.6.3</t>
  </si>
  <si>
    <t>Fases del proceso (Sprints)</t>
  </si>
  <si>
    <t>1.7.1</t>
  </si>
  <si>
    <t>Identificación de funciones (ILF EIF EI EO EQ)</t>
  </si>
  <si>
    <t>1.7.2</t>
  </si>
  <si>
    <t>Cálculo de UFP y FP ajustados</t>
  </si>
  <si>
    <t>1.7.3</t>
  </si>
  <si>
    <t>Estimación de esfuerzo tiempo y costo</t>
  </si>
  <si>
    <t>1.8.1</t>
  </si>
  <si>
    <t>EDT</t>
  </si>
  <si>
    <t>1.8.2</t>
  </si>
  <si>
    <t>Cronograma</t>
  </si>
  <si>
    <t>1.8.3</t>
  </si>
  <si>
    <t>Roles del equipo</t>
  </si>
  <si>
    <t>1.9.1</t>
  </si>
  <si>
    <t>Avances reales</t>
  </si>
  <si>
    <t>1.9.2</t>
  </si>
  <si>
    <t>Actividades realizadas</t>
  </si>
  <si>
    <t>1.9.3</t>
  </si>
  <si>
    <t>Evidencias del prototipo</t>
  </si>
  <si>
    <t>1.9.4</t>
  </si>
  <si>
    <t>Trabajo por sprints</t>
  </si>
  <si>
    <t>Control del Proyecto (EVM)</t>
  </si>
  <si>
    <t>Pendiente</t>
  </si>
  <si>
    <t>Gestión de Riesgos</t>
  </si>
  <si>
    <t>Gestión de Calidad (ISO 25010)</t>
  </si>
  <si>
    <t>1.13.1</t>
  </si>
  <si>
    <t>Resultados</t>
  </si>
  <si>
    <t>1.13.2</t>
  </si>
  <si>
    <t>Problemas encontrados</t>
  </si>
  <si>
    <t>1.13.3</t>
  </si>
  <si>
    <t>Recomendaciones</t>
  </si>
  <si>
    <t>Anexos</t>
  </si>
  <si>
    <t>completados</t>
  </si>
  <si>
    <t>en proceso</t>
  </si>
  <si>
    <t>pendiente</t>
  </si>
  <si>
    <t>total</t>
  </si>
  <si>
    <t>procentaje de avance</t>
  </si>
  <si>
    <t>Sprint 1 (Semanas 1-2): Estructura base del sistema</t>
  </si>
  <si>
    <t>Actividades</t>
  </si>
  <si>
    <t>Estado (Completado / En proceso / Pendiente)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</si>
  <si>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Aplicación de estilos visuales básicos.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</si>
  <si>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Implementación del encabezado con nombre y profesión.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</si>
  <si>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Creación de las secciones principales: Portafolio, Servicios y Contacto.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</si>
  <si>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Definición de estructura HTML del sistema.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</si>
  <si>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Configuración de navegación interna.</t>
    </r>
  </si>
  <si>
    <t>Sprint 2 (Semanas 3-4): Desarrollo del Portafolio Visual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</si>
  <si>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Implementación de galería en formato grid  o carrusel.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</si>
  <si>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Integración de imágenes o renders optimizados.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</si>
  <si>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Incorporación de efectos visuales (hover y visualización ampliada).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</si>
  <si>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Ajustes de diseño responsivo.</t>
    </r>
  </si>
  <si>
    <t>Sprint 3 (Semanas 5-6): Catálogo de Servicios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</si>
  <si>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Diseño de sección tipo tarjetas o bloques informativos.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</si>
  <si>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Redacción e integración de descripciones de servicios.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</si>
  <si>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Mejora de jerarquía visual.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</si>
  <si>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Ajustes generales de diseño y experiencia de usuario.</t>
    </r>
  </si>
  <si>
    <t>Sprint 4 (Semanas 7-8): Sistema de Contacto y Cierre del Proyecto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</si>
  <si>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Desarrollo de sección de contacto.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</si>
  <si>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Pruebas funcionales y corrección de errores.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</si>
  <si>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Optimización final y despliegue del sistema.</t>
    </r>
  </si>
  <si>
    <t>Completados Sprint 1</t>
  </si>
  <si>
    <t>Completados Sprint 2</t>
  </si>
  <si>
    <t>Completados Sprint 3</t>
  </si>
  <si>
    <t>Completados Sprint 4</t>
  </si>
  <si>
    <t>Total</t>
  </si>
  <si>
    <t>(falta parte funcional: enviar correos, pero los componentes visuales ya están)</t>
  </si>
  <si>
    <t>Porcentaje</t>
  </si>
  <si>
    <t>Total de Actividades Completadas</t>
  </si>
  <si>
    <t>Porcentaje de Avance de los 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</si>
</sst>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F2F2F2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FFFFFF"/>
      <name val="Aptos"/>
      <family val="2"/>
    </font>
    <font>
      <b/>
      <sz val="11"/>
      <color rgb="FF000000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 indent="3"/>
    </xf>
    <xf numFmtId="0" fontId="4" fillId="0" borderId="8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5" fillId="2" borderId="9" xfId="0" applyFont="1" applyFill="1" applyBorder="1" applyAlignment="1">
      <alignment vertical="center" wrapText="1"/>
    </xf>
    <xf numFmtId="9" fontId="0" fillId="0" borderId="9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A9D4-FECE-4A75-9146-54BA2EDDFB2F}">
  <dimension ref="B1:G36"/>
  <sheetViews>
    <sheetView topLeftCell="A29" workbookViewId="0">
      <selection activeCell="L36" sqref="L36"/>
    </sheetView>
  </sheetViews>
  <sheetFormatPr baseColWidth="10" defaultRowHeight="14.4" x14ac:dyDescent="0.3"/>
  <cols>
    <col min="4" max="4" width="36.33203125" customWidth="1"/>
    <col min="5" max="5" width="11.5546875" customWidth="1"/>
    <col min="6" max="6" width="19.88671875" customWidth="1"/>
  </cols>
  <sheetData>
    <row r="1" spans="2:4" ht="15" thickBot="1" x14ac:dyDescent="0.35"/>
    <row r="2" spans="2:4" ht="15.6" x14ac:dyDescent="0.3">
      <c r="B2" s="6" t="s">
        <v>0</v>
      </c>
      <c r="C2" s="6" t="s">
        <v>1</v>
      </c>
      <c r="D2" s="1" t="s">
        <v>2</v>
      </c>
    </row>
    <row r="3" spans="2:4" ht="16.2" thickBot="1" x14ac:dyDescent="0.35">
      <c r="B3" s="7"/>
      <c r="C3" s="7"/>
      <c r="D3" s="2" t="s">
        <v>3</v>
      </c>
    </row>
    <row r="4" spans="2:4" ht="15" thickBot="1" x14ac:dyDescent="0.35">
      <c r="B4" s="3">
        <v>1.1000000000000001</v>
      </c>
      <c r="C4" s="4" t="s">
        <v>4</v>
      </c>
      <c r="D4" s="5" t="s">
        <v>5</v>
      </c>
    </row>
    <row r="5" spans="2:4" ht="15" thickBot="1" x14ac:dyDescent="0.35">
      <c r="B5" s="3" t="s">
        <v>6</v>
      </c>
      <c r="C5" s="4" t="s">
        <v>7</v>
      </c>
      <c r="D5" s="5" t="s">
        <v>5</v>
      </c>
    </row>
    <row r="6" spans="2:4" ht="15" thickBot="1" x14ac:dyDescent="0.35">
      <c r="B6" s="3" t="s">
        <v>8</v>
      </c>
      <c r="C6" s="4" t="s">
        <v>9</v>
      </c>
      <c r="D6" s="5" t="s">
        <v>5</v>
      </c>
    </row>
    <row r="7" spans="2:4" ht="15" thickBot="1" x14ac:dyDescent="0.35">
      <c r="B7" s="3" t="s">
        <v>10</v>
      </c>
      <c r="C7" s="4" t="s">
        <v>11</v>
      </c>
      <c r="D7" s="5" t="s">
        <v>5</v>
      </c>
    </row>
    <row r="8" spans="2:4" ht="15" thickBot="1" x14ac:dyDescent="0.35">
      <c r="B8" s="3" t="s">
        <v>12</v>
      </c>
      <c r="C8" s="4" t="s">
        <v>13</v>
      </c>
      <c r="D8" s="5" t="s">
        <v>5</v>
      </c>
    </row>
    <row r="9" spans="2:4" ht="15" thickBot="1" x14ac:dyDescent="0.35">
      <c r="B9" s="3" t="s">
        <v>14</v>
      </c>
      <c r="C9" s="4" t="s">
        <v>15</v>
      </c>
      <c r="D9" s="5" t="s">
        <v>5</v>
      </c>
    </row>
    <row r="10" spans="2:4" ht="15" thickBot="1" x14ac:dyDescent="0.35">
      <c r="B10" s="3" t="s">
        <v>16</v>
      </c>
      <c r="C10" s="4" t="s">
        <v>17</v>
      </c>
      <c r="D10" s="5" t="s">
        <v>5</v>
      </c>
    </row>
    <row r="11" spans="2:4" ht="15" thickBot="1" x14ac:dyDescent="0.35">
      <c r="B11" s="3" t="s">
        <v>18</v>
      </c>
      <c r="C11" s="4" t="s">
        <v>19</v>
      </c>
      <c r="D11" s="5" t="s">
        <v>5</v>
      </c>
    </row>
    <row r="12" spans="2:4" ht="15" thickBot="1" x14ac:dyDescent="0.35">
      <c r="B12" s="3" t="s">
        <v>20</v>
      </c>
      <c r="C12" s="4" t="s">
        <v>21</v>
      </c>
      <c r="D12" s="5" t="s">
        <v>5</v>
      </c>
    </row>
    <row r="13" spans="2:4" ht="15" thickBot="1" x14ac:dyDescent="0.35">
      <c r="B13" s="3" t="s">
        <v>22</v>
      </c>
      <c r="C13" s="4" t="s">
        <v>23</v>
      </c>
      <c r="D13" s="5" t="s">
        <v>5</v>
      </c>
    </row>
    <row r="14" spans="2:4" ht="15" thickBot="1" x14ac:dyDescent="0.35">
      <c r="B14" s="3" t="s">
        <v>24</v>
      </c>
      <c r="C14" s="4" t="s">
        <v>25</v>
      </c>
      <c r="D14" s="5" t="s">
        <v>5</v>
      </c>
    </row>
    <row r="15" spans="2:4" ht="15" thickBot="1" x14ac:dyDescent="0.35">
      <c r="B15" s="3" t="s">
        <v>26</v>
      </c>
      <c r="C15" s="4" t="s">
        <v>27</v>
      </c>
      <c r="D15" s="5" t="s">
        <v>5</v>
      </c>
    </row>
    <row r="16" spans="2:4" ht="15" thickBot="1" x14ac:dyDescent="0.35">
      <c r="B16" s="3" t="s">
        <v>28</v>
      </c>
      <c r="C16" s="4" t="s">
        <v>29</v>
      </c>
      <c r="D16" s="5" t="s">
        <v>5</v>
      </c>
    </row>
    <row r="17" spans="2:7" ht="15" thickBot="1" x14ac:dyDescent="0.35">
      <c r="B17" s="3" t="s">
        <v>30</v>
      </c>
      <c r="C17" s="4" t="s">
        <v>31</v>
      </c>
      <c r="D17" s="5" t="s">
        <v>5</v>
      </c>
    </row>
    <row r="18" spans="2:7" ht="15" thickBot="1" x14ac:dyDescent="0.35">
      <c r="B18" s="3" t="s">
        <v>32</v>
      </c>
      <c r="C18" s="4" t="s">
        <v>33</v>
      </c>
      <c r="D18" s="5" t="s">
        <v>5</v>
      </c>
    </row>
    <row r="19" spans="2:7" ht="15" thickBot="1" x14ac:dyDescent="0.35">
      <c r="B19" s="3" t="s">
        <v>34</v>
      </c>
      <c r="C19" s="4" t="s">
        <v>35</v>
      </c>
      <c r="D19" s="5" t="s">
        <v>5</v>
      </c>
    </row>
    <row r="20" spans="2:7" ht="15" thickBot="1" x14ac:dyDescent="0.35">
      <c r="B20" s="3" t="s">
        <v>36</v>
      </c>
      <c r="C20" s="4" t="s">
        <v>37</v>
      </c>
      <c r="D20" s="5" t="s">
        <v>5</v>
      </c>
    </row>
    <row r="21" spans="2:7" ht="15" thickBot="1" x14ac:dyDescent="0.35">
      <c r="B21" s="3" t="s">
        <v>38</v>
      </c>
      <c r="C21" s="4" t="s">
        <v>39</v>
      </c>
      <c r="D21" s="5" t="s">
        <v>5</v>
      </c>
    </row>
    <row r="22" spans="2:7" ht="15" thickBot="1" x14ac:dyDescent="0.35">
      <c r="B22" s="3" t="s">
        <v>40</v>
      </c>
      <c r="C22" s="4" t="s">
        <v>41</v>
      </c>
      <c r="D22" s="5" t="s">
        <v>5</v>
      </c>
    </row>
    <row r="23" spans="2:7" ht="15" thickBot="1" x14ac:dyDescent="0.35">
      <c r="B23" s="3" t="s">
        <v>42</v>
      </c>
      <c r="C23" s="4" t="s">
        <v>43</v>
      </c>
      <c r="D23" s="5" t="s">
        <v>5</v>
      </c>
    </row>
    <row r="24" spans="2:7" ht="15" thickBot="1" x14ac:dyDescent="0.35">
      <c r="B24" s="3" t="s">
        <v>44</v>
      </c>
      <c r="C24" s="4" t="s">
        <v>45</v>
      </c>
      <c r="D24" s="5" t="s">
        <v>5</v>
      </c>
    </row>
    <row r="25" spans="2:7" ht="15" thickBot="1" x14ac:dyDescent="0.35">
      <c r="B25" s="3" t="s">
        <v>46</v>
      </c>
      <c r="C25" s="4" t="s">
        <v>47</v>
      </c>
      <c r="D25" s="5" t="s">
        <v>5</v>
      </c>
    </row>
    <row r="26" spans="2:7" ht="15" thickBot="1" x14ac:dyDescent="0.35">
      <c r="B26" s="3" t="s">
        <v>48</v>
      </c>
      <c r="C26" s="4" t="s">
        <v>49</v>
      </c>
      <c r="D26" s="5" t="s">
        <v>5</v>
      </c>
    </row>
    <row r="27" spans="2:7" ht="15" thickBot="1" x14ac:dyDescent="0.35">
      <c r="B27" s="3" t="s">
        <v>50</v>
      </c>
      <c r="C27" s="4" t="s">
        <v>51</v>
      </c>
      <c r="D27" s="5" t="s">
        <v>3</v>
      </c>
    </row>
    <row r="28" spans="2:7" ht="15" thickBot="1" x14ac:dyDescent="0.35">
      <c r="B28" s="3" t="s">
        <v>52</v>
      </c>
      <c r="C28" s="4" t="s">
        <v>53</v>
      </c>
      <c r="D28" s="5" t="s">
        <v>3</v>
      </c>
    </row>
    <row r="29" spans="2:7" ht="15" thickBot="1" x14ac:dyDescent="0.35">
      <c r="B29" s="3" t="s">
        <v>54</v>
      </c>
      <c r="C29" s="4" t="s">
        <v>55</v>
      </c>
      <c r="D29" s="5" t="s">
        <v>3</v>
      </c>
      <c r="F29" t="s">
        <v>67</v>
      </c>
      <c r="G29">
        <f>COUNTIF($D$4:$D$36,"Completado")</f>
        <v>23</v>
      </c>
    </row>
    <row r="30" spans="2:7" ht="15" thickBot="1" x14ac:dyDescent="0.35">
      <c r="B30" s="3">
        <v>1.1000000000000001</v>
      </c>
      <c r="C30" s="4" t="s">
        <v>56</v>
      </c>
      <c r="D30" s="5" t="s">
        <v>57</v>
      </c>
      <c r="F30" t="s">
        <v>68</v>
      </c>
      <c r="G30">
        <f>COUNTIF($D$4:$D$36,"En proceso")</f>
        <v>3</v>
      </c>
    </row>
    <row r="31" spans="2:7" ht="15" thickBot="1" x14ac:dyDescent="0.35">
      <c r="B31" s="3">
        <v>1.1100000000000001</v>
      </c>
      <c r="C31" s="4" t="s">
        <v>58</v>
      </c>
      <c r="D31" s="5" t="s">
        <v>57</v>
      </c>
      <c r="F31" t="s">
        <v>69</v>
      </c>
      <c r="G31">
        <f>COUNTIF($D$4:$D$36,"Pendiente")</f>
        <v>7</v>
      </c>
    </row>
    <row r="32" spans="2:7" ht="15" thickBot="1" x14ac:dyDescent="0.35">
      <c r="B32" s="3">
        <v>1.1200000000000001</v>
      </c>
      <c r="C32" s="4" t="s">
        <v>59</v>
      </c>
      <c r="D32" s="5" t="s">
        <v>57</v>
      </c>
      <c r="F32" t="s">
        <v>70</v>
      </c>
      <c r="G32">
        <f>SUM(G29:G31)</f>
        <v>33</v>
      </c>
    </row>
    <row r="33" spans="2:7" ht="15" thickBot="1" x14ac:dyDescent="0.35">
      <c r="B33" s="3" t="s">
        <v>60</v>
      </c>
      <c r="C33" s="4" t="s">
        <v>61</v>
      </c>
      <c r="D33" s="5" t="s">
        <v>57</v>
      </c>
      <c r="F33" t="s">
        <v>71</v>
      </c>
      <c r="G33">
        <f>G29*100/G32</f>
        <v>69.696969696969703</v>
      </c>
    </row>
    <row r="34" spans="2:7" ht="15" thickBot="1" x14ac:dyDescent="0.35">
      <c r="B34" s="3" t="s">
        <v>62</v>
      </c>
      <c r="C34" s="4" t="s">
        <v>63</v>
      </c>
      <c r="D34" s="5" t="s">
        <v>57</v>
      </c>
    </row>
    <row r="35" spans="2:7" ht="15" thickBot="1" x14ac:dyDescent="0.35">
      <c r="B35" s="3" t="s">
        <v>64</v>
      </c>
      <c r="C35" s="4" t="s">
        <v>65</v>
      </c>
      <c r="D35" s="5" t="s">
        <v>57</v>
      </c>
    </row>
    <row r="36" spans="2:7" ht="15" thickBot="1" x14ac:dyDescent="0.35">
      <c r="B36" s="3">
        <v>1.1399999999999999</v>
      </c>
      <c r="C36" s="4" t="s">
        <v>66</v>
      </c>
      <c r="D36" s="5" t="s">
        <v>57</v>
      </c>
    </row>
  </sheetData>
  <mergeCells count="2"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7B75-7FA1-43D8-9AEE-0F4B09F1B86F}">
  <dimension ref="B2:K29"/>
  <sheetViews>
    <sheetView tabSelected="1" topLeftCell="B14" workbookViewId="0">
      <selection activeCell="J24" sqref="J24"/>
    </sheetView>
  </sheetViews>
  <sheetFormatPr baseColWidth="10" defaultRowHeight="14.4" x14ac:dyDescent="0.3"/>
  <cols>
    <col min="2" max="3" width="40.77734375" customWidth="1"/>
    <col min="5" max="5" width="22.77734375" customWidth="1"/>
  </cols>
  <sheetData>
    <row r="2" spans="2:6" ht="15" thickBot="1" x14ac:dyDescent="0.35"/>
    <row r="3" spans="2:6" ht="19.95" customHeight="1" thickBot="1" x14ac:dyDescent="0.35">
      <c r="B3" s="13" t="s">
        <v>72</v>
      </c>
      <c r="C3" s="14"/>
    </row>
    <row r="4" spans="2:6" ht="28.2" thickBot="1" x14ac:dyDescent="0.35">
      <c r="B4" s="9" t="s">
        <v>73</v>
      </c>
      <c r="C4" s="10" t="s">
        <v>74</v>
      </c>
    </row>
    <row r="5" spans="2:6" ht="28.2" thickBot="1" x14ac:dyDescent="0.35">
      <c r="B5" s="11" t="s">
        <v>75</v>
      </c>
      <c r="C5" s="12" t="s">
        <v>5</v>
      </c>
    </row>
    <row r="6" spans="2:6" ht="28.2" thickBot="1" x14ac:dyDescent="0.35">
      <c r="B6" s="11" t="s">
        <v>76</v>
      </c>
      <c r="C6" s="12" t="s">
        <v>5</v>
      </c>
    </row>
    <row r="7" spans="2:6" ht="42" thickBot="1" x14ac:dyDescent="0.35">
      <c r="B7" s="11" t="s">
        <v>77</v>
      </c>
      <c r="C7" s="12" t="s">
        <v>5</v>
      </c>
    </row>
    <row r="8" spans="2:6" ht="28.2" thickBot="1" x14ac:dyDescent="0.35">
      <c r="B8" s="11" t="s">
        <v>78</v>
      </c>
      <c r="C8" s="12" t="s">
        <v>5</v>
      </c>
    </row>
    <row r="9" spans="2:6" ht="28.2" thickBot="1" x14ac:dyDescent="0.35">
      <c r="B9" s="11" t="s">
        <v>79</v>
      </c>
      <c r="C9" s="12" t="s">
        <v>5</v>
      </c>
      <c r="E9" s="10" t="s">
        <v>94</v>
      </c>
      <c r="F9" s="15">
        <f>COUNTIF($C$5:$C$9, "Completado")</f>
        <v>5</v>
      </c>
    </row>
    <row r="10" spans="2:6" ht="19.95" customHeight="1" thickBot="1" x14ac:dyDescent="0.35">
      <c r="B10" s="13" t="s">
        <v>80</v>
      </c>
      <c r="C10" s="14"/>
    </row>
    <row r="11" spans="2:6" ht="28.2" thickBot="1" x14ac:dyDescent="0.35">
      <c r="B11" s="9" t="s">
        <v>73</v>
      </c>
      <c r="C11" s="10" t="s">
        <v>74</v>
      </c>
    </row>
    <row r="12" spans="2:6" ht="28.2" thickBot="1" x14ac:dyDescent="0.35">
      <c r="B12" s="11" t="s">
        <v>81</v>
      </c>
      <c r="C12" s="12" t="s">
        <v>5</v>
      </c>
    </row>
    <row r="13" spans="2:6" ht="28.2" thickBot="1" x14ac:dyDescent="0.35">
      <c r="B13" s="11" t="s">
        <v>82</v>
      </c>
      <c r="C13" s="12" t="s">
        <v>5</v>
      </c>
    </row>
    <row r="14" spans="2:6" ht="28.2" thickBot="1" x14ac:dyDescent="0.35">
      <c r="B14" s="11" t="s">
        <v>83</v>
      </c>
      <c r="C14" s="12" t="s">
        <v>5</v>
      </c>
    </row>
    <row r="15" spans="2:6" ht="15" thickBot="1" x14ac:dyDescent="0.35">
      <c r="B15" s="11" t="s">
        <v>84</v>
      </c>
      <c r="C15" s="12" t="s">
        <v>5</v>
      </c>
      <c r="E15" s="10" t="s">
        <v>95</v>
      </c>
      <c r="F15" s="15">
        <f>COUNTIF($C$12:$C$15, "Completado")</f>
        <v>4</v>
      </c>
    </row>
    <row r="16" spans="2:6" ht="19.95" customHeight="1" thickBot="1" x14ac:dyDescent="0.35">
      <c r="B16" s="13" t="s">
        <v>85</v>
      </c>
      <c r="C16" s="14"/>
    </row>
    <row r="17" spans="2:11" ht="28.2" thickBot="1" x14ac:dyDescent="0.35">
      <c r="B17" s="9" t="s">
        <v>73</v>
      </c>
      <c r="C17" s="10" t="s">
        <v>74</v>
      </c>
      <c r="J17" s="16" t="s">
        <v>94</v>
      </c>
      <c r="K17" s="17">
        <f>COUNTIF($C$5:$C$9, "Completado")</f>
        <v>5</v>
      </c>
    </row>
    <row r="18" spans="2:11" ht="28.2" thickBot="1" x14ac:dyDescent="0.35">
      <c r="B18" s="11" t="s">
        <v>86</v>
      </c>
      <c r="C18" s="12" t="s">
        <v>5</v>
      </c>
      <c r="J18" s="16" t="s">
        <v>95</v>
      </c>
      <c r="K18" s="17">
        <f>COUNTIF($C$12:$C$15, "Completado")</f>
        <v>4</v>
      </c>
    </row>
    <row r="19" spans="2:11" ht="28.2" thickBot="1" x14ac:dyDescent="0.35">
      <c r="B19" s="11" t="s">
        <v>87</v>
      </c>
      <c r="C19" s="12" t="s">
        <v>3</v>
      </c>
      <c r="J19" s="16" t="s">
        <v>96</v>
      </c>
      <c r="K19" s="17">
        <f>COUNTIF($C$18:$C$21, "Completado")</f>
        <v>3</v>
      </c>
    </row>
    <row r="20" spans="2:11" ht="28.2" thickBot="1" x14ac:dyDescent="0.35">
      <c r="B20" s="11" t="s">
        <v>88</v>
      </c>
      <c r="C20" s="12" t="s">
        <v>5</v>
      </c>
      <c r="J20" s="16" t="s">
        <v>97</v>
      </c>
      <c r="K20" s="17">
        <f>COUNTIF($C$24:$C$26, "Completado")</f>
        <v>1</v>
      </c>
    </row>
    <row r="21" spans="2:11" ht="78.599999999999994" thickBot="1" x14ac:dyDescent="0.35">
      <c r="B21" s="11" t="s">
        <v>89</v>
      </c>
      <c r="C21" s="12" t="s">
        <v>5</v>
      </c>
      <c r="E21" s="10" t="s">
        <v>96</v>
      </c>
      <c r="F21" s="15">
        <f>COUNTIF($C$18:$C$21, "Completado")</f>
        <v>3</v>
      </c>
      <c r="J21" s="18" t="s">
        <v>101</v>
      </c>
      <c r="K21" s="17">
        <f>SUM(K17:K20)</f>
        <v>13</v>
      </c>
    </row>
    <row r="22" spans="2:11" ht="19.95" customHeight="1" thickBot="1" x14ac:dyDescent="0.35">
      <c r="B22" s="13" t="s">
        <v>90</v>
      </c>
      <c r="C22" s="14"/>
    </row>
    <row r="23" spans="2:11" ht="63" thickBot="1" x14ac:dyDescent="0.35">
      <c r="B23" s="9" t="s">
        <v>73</v>
      </c>
      <c r="C23" s="10" t="s">
        <v>74</v>
      </c>
      <c r="J23" s="18" t="s">
        <v>102</v>
      </c>
      <c r="K23" s="19">
        <f>13/16</f>
        <v>0.8125</v>
      </c>
    </row>
    <row r="24" spans="2:11" ht="15" thickBot="1" x14ac:dyDescent="0.35">
      <c r="B24" s="11" t="s">
        <v>91</v>
      </c>
      <c r="C24" s="12" t="s">
        <v>3</v>
      </c>
      <c r="E24" t="s">
        <v>99</v>
      </c>
    </row>
    <row r="25" spans="2:11" ht="28.2" thickBot="1" x14ac:dyDescent="0.35">
      <c r="B25" s="11" t="s">
        <v>92</v>
      </c>
      <c r="C25" s="12" t="s">
        <v>3</v>
      </c>
    </row>
    <row r="26" spans="2:11" ht="28.2" customHeight="1" thickBot="1" x14ac:dyDescent="0.35">
      <c r="B26" s="11" t="s">
        <v>93</v>
      </c>
      <c r="C26" s="12" t="s">
        <v>5</v>
      </c>
      <c r="E26" s="10" t="s">
        <v>97</v>
      </c>
      <c r="F26" s="15">
        <f>COUNTIF($C$24:$C$26, "Completado")</f>
        <v>1</v>
      </c>
    </row>
    <row r="27" spans="2:11" ht="16.2" thickBot="1" x14ac:dyDescent="0.35">
      <c r="E27" s="8" t="s">
        <v>98</v>
      </c>
      <c r="F27" s="15">
        <f>SUM($F$9,$F$15,$F$21,$F$26)</f>
        <v>13</v>
      </c>
    </row>
    <row r="28" spans="2:11" ht="15" thickBot="1" x14ac:dyDescent="0.35"/>
    <row r="29" spans="2:11" ht="16.2" thickBot="1" x14ac:dyDescent="0.35">
      <c r="E29" s="8" t="s">
        <v>100</v>
      </c>
      <c r="F29">
        <f>13*100/16</f>
        <v>81.25</v>
      </c>
    </row>
  </sheetData>
  <mergeCells count="4">
    <mergeCell ref="B3:C3"/>
    <mergeCell ref="B10:C10"/>
    <mergeCell ref="B16:C16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BARRON ALVAREZ</dc:creator>
  <cp:lastModifiedBy>MARIA FERNANDA BARRON ALVAREZ</cp:lastModifiedBy>
  <dcterms:created xsi:type="dcterms:W3CDTF">2026-06-02T14:27:27Z</dcterms:created>
  <dcterms:modified xsi:type="dcterms:W3CDTF">2026-06-03T15:01:40Z</dcterms:modified>
</cp:coreProperties>
</file>